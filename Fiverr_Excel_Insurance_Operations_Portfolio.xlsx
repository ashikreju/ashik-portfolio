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'Policy Data'!$A$3:$I$23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3F8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164" fontId="0" fillId="4" borderId="0" pivotButton="0" quotePrefix="0" xfId="0"/>
    <xf numFmtId="9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Policies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'Dashboard'!$D$4:$D$6</f>
            </numRef>
          </cat>
          <val>
            <numRef>
              <f>'Dashboard'!$E$4:$E$6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Policies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Fictional P&amp;C Insurance Operations Dataset</t>
        </is>
      </c>
    </row>
    <row r="3">
      <c r="A3" s="2" t="inlineStr">
        <is>
          <t>Policy ID</t>
        </is>
      </c>
      <c r="B3" s="2" t="inlineStr">
        <is>
          <t>Account Name</t>
        </is>
      </c>
      <c r="C3" s="2" t="inlineStr">
        <is>
          <t>Policy Type</t>
        </is>
      </c>
      <c r="D3" s="2" t="inlineStr">
        <is>
          <t>Effective Date</t>
        </is>
      </c>
      <c r="E3" s="2" t="inlineStr">
        <is>
          <t>Expiration Date</t>
        </is>
      </c>
      <c r="F3" s="2" t="inlineStr">
        <is>
          <t>Premium ($)</t>
        </is>
      </c>
      <c r="G3" s="2" t="inlineStr">
        <is>
          <t>Tasks Completed</t>
        </is>
      </c>
      <c r="H3" s="2" t="inlineStr">
        <is>
          <t>Status</t>
        </is>
      </c>
      <c r="I3" s="2" t="inlineStr">
        <is>
          <t>Assigned To</t>
        </is>
      </c>
    </row>
    <row r="4">
      <c r="A4" t="inlineStr">
        <is>
          <t>POL001</t>
        </is>
      </c>
      <c r="B4" t="inlineStr">
        <is>
          <t>Alpha Manufacturing Co.</t>
        </is>
      </c>
      <c r="C4" t="inlineStr">
        <is>
          <t>Commercial Property</t>
        </is>
      </c>
      <c r="D4" s="3" t="inlineStr">
        <is>
          <t>01-Apr-2026</t>
        </is>
      </c>
      <c r="E4" s="3" t="inlineStr">
        <is>
          <t>31-Mar-2027</t>
        </is>
      </c>
      <c r="F4" s="4" t="n">
        <v>125000</v>
      </c>
      <c r="G4" t="n">
        <v>5200</v>
      </c>
      <c r="H4" t="inlineStr">
        <is>
          <t>Completed</t>
        </is>
      </c>
      <c r="I4" t="inlineStr">
        <is>
          <t>Arun</t>
        </is>
      </c>
    </row>
    <row r="5">
      <c r="A5" t="inlineStr">
        <is>
          <t>POL002</t>
        </is>
      </c>
      <c r="B5" t="inlineStr">
        <is>
          <t>Bluewave Logistics</t>
        </is>
      </c>
      <c r="C5" t="inlineStr">
        <is>
          <t>Commercial Auto</t>
        </is>
      </c>
      <c r="D5" s="3" t="inlineStr">
        <is>
          <t>15-Apr-2026</t>
        </is>
      </c>
      <c r="E5" s="3" t="inlineStr">
        <is>
          <t>14-Apr-2027</t>
        </is>
      </c>
      <c r="F5" s="4" t="n">
        <v>98000</v>
      </c>
      <c r="G5" t="n">
        <v>4100</v>
      </c>
      <c r="H5" t="inlineStr">
        <is>
          <t>Completed</t>
        </is>
      </c>
      <c r="I5" t="inlineStr">
        <is>
          <t>Meera</t>
        </is>
      </c>
    </row>
    <row r="6">
      <c r="A6" t="inlineStr">
        <is>
          <t>POL003</t>
        </is>
      </c>
      <c r="B6" t="inlineStr">
        <is>
          <t>Cedar Construction</t>
        </is>
      </c>
      <c r="C6" t="inlineStr">
        <is>
          <t>General Liability</t>
        </is>
      </c>
      <c r="D6" s="3" t="inlineStr">
        <is>
          <t>01-May-2026</t>
        </is>
      </c>
      <c r="E6" s="3" t="inlineStr">
        <is>
          <t>30-Apr-2027</t>
        </is>
      </c>
      <c r="F6" s="4" t="n">
        <v>175000</v>
      </c>
      <c r="G6" t="n">
        <v>7350</v>
      </c>
      <c r="H6" t="inlineStr">
        <is>
          <t>Pending</t>
        </is>
      </c>
      <c r="I6" t="inlineStr">
        <is>
          <t>Rahul</t>
        </is>
      </c>
    </row>
    <row r="7">
      <c r="A7" t="inlineStr">
        <is>
          <t>POL004</t>
        </is>
      </c>
      <c r="B7" t="inlineStr">
        <is>
          <t>Delta Retail Group</t>
        </is>
      </c>
      <c r="C7" t="inlineStr">
        <is>
          <t>Commercial Property</t>
        </is>
      </c>
      <c r="D7" s="3" t="inlineStr">
        <is>
          <t>10-May-2026</t>
        </is>
      </c>
      <c r="E7" s="3" t="inlineStr">
        <is>
          <t>09-May-2027</t>
        </is>
      </c>
      <c r="F7" s="4" t="n">
        <v>112000</v>
      </c>
      <c r="G7" t="n">
        <v>4700</v>
      </c>
      <c r="H7" t="inlineStr">
        <is>
          <t>Completed</t>
        </is>
      </c>
      <c r="I7" t="inlineStr">
        <is>
          <t>Anu</t>
        </is>
      </c>
    </row>
    <row r="8">
      <c r="A8" t="inlineStr">
        <is>
          <t>POL005</t>
        </is>
      </c>
      <c r="B8" t="inlineStr">
        <is>
          <t>Evergreen Foods</t>
        </is>
      </c>
      <c r="C8" t="inlineStr">
        <is>
          <t>General Liability</t>
        </is>
      </c>
      <c r="D8" s="3" t="inlineStr">
        <is>
          <t>01-Jun-2026</t>
        </is>
      </c>
      <c r="E8" s="3" t="inlineStr">
        <is>
          <t>31-May-2027</t>
        </is>
      </c>
      <c r="F8" s="4" t="n">
        <v>143000</v>
      </c>
      <c r="G8" t="n">
        <v>6000</v>
      </c>
      <c r="H8" t="inlineStr">
        <is>
          <t>Query</t>
        </is>
      </c>
      <c r="I8" t="inlineStr">
        <is>
          <t>Arun</t>
        </is>
      </c>
    </row>
    <row r="9">
      <c r="A9" t="inlineStr">
        <is>
          <t>POL006</t>
        </is>
      </c>
      <c r="B9" t="inlineStr">
        <is>
          <t>Falcon Engineering</t>
        </is>
      </c>
      <c r="C9" t="inlineStr">
        <is>
          <t>Workers Compensation</t>
        </is>
      </c>
      <c r="D9" s="3" t="inlineStr">
        <is>
          <t>05-Jun-2026</t>
        </is>
      </c>
      <c r="E9" s="3" t="inlineStr">
        <is>
          <t>04-Jun-2027</t>
        </is>
      </c>
      <c r="F9" s="4" t="n">
        <v>89000</v>
      </c>
      <c r="G9" t="n">
        <v>3750</v>
      </c>
      <c r="H9" t="inlineStr">
        <is>
          <t>Completed</t>
        </is>
      </c>
      <c r="I9" t="inlineStr">
        <is>
          <t>Meera</t>
        </is>
      </c>
    </row>
    <row r="10">
      <c r="A10" t="inlineStr">
        <is>
          <t>POL007</t>
        </is>
      </c>
      <c r="B10" t="inlineStr">
        <is>
          <t>Greenfield Hotels</t>
        </is>
      </c>
      <c r="C10" t="inlineStr">
        <is>
          <t>Commercial Property</t>
        </is>
      </c>
      <c r="D10" s="3" t="inlineStr">
        <is>
          <t>20-Jun-2026</t>
        </is>
      </c>
      <c r="E10" s="3" t="inlineStr">
        <is>
          <t>19-Jun-2027</t>
        </is>
      </c>
      <c r="F10" s="4" t="n">
        <v>210000</v>
      </c>
      <c r="G10" t="n">
        <v>8800</v>
      </c>
      <c r="H10" t="inlineStr">
        <is>
          <t>Pending</t>
        </is>
      </c>
      <c r="I10" t="inlineStr">
        <is>
          <t>Rahul</t>
        </is>
      </c>
    </row>
    <row r="11">
      <c r="A11" t="inlineStr">
        <is>
          <t>POL008</t>
        </is>
      </c>
      <c r="B11" t="inlineStr">
        <is>
          <t>Harbor Services</t>
        </is>
      </c>
      <c r="C11" t="inlineStr">
        <is>
          <t>Commercial Auto</t>
        </is>
      </c>
      <c r="D11" s="3" t="inlineStr">
        <is>
          <t>01-Jul-2026</t>
        </is>
      </c>
      <c r="E11" s="3" t="inlineStr">
        <is>
          <t>30-Jun-2027</t>
        </is>
      </c>
      <c r="F11" s="4" t="n">
        <v>76000</v>
      </c>
      <c r="G11" t="n">
        <v>3200</v>
      </c>
      <c r="H11" t="inlineStr">
        <is>
          <t>Completed</t>
        </is>
      </c>
      <c r="I11" t="inlineStr">
        <is>
          <t>Anu</t>
        </is>
      </c>
    </row>
    <row r="12">
      <c r="A12" t="inlineStr">
        <is>
          <t>POL009</t>
        </is>
      </c>
      <c r="B12" t="inlineStr">
        <is>
          <t>Indigo Technologies</t>
        </is>
      </c>
      <c r="C12" t="inlineStr">
        <is>
          <t>Cyber Liability</t>
        </is>
      </c>
      <c r="D12" s="3" t="inlineStr">
        <is>
          <t>12-Jul-2026</t>
        </is>
      </c>
      <c r="E12" s="3" t="inlineStr">
        <is>
          <t>11-Jul-2027</t>
        </is>
      </c>
      <c r="F12" s="4" t="n">
        <v>156000</v>
      </c>
      <c r="G12" t="n">
        <v>6550</v>
      </c>
      <c r="H12" t="inlineStr">
        <is>
          <t>Completed</t>
        </is>
      </c>
      <c r="I12" t="inlineStr">
        <is>
          <t>Arun</t>
        </is>
      </c>
    </row>
    <row r="13">
      <c r="A13" t="inlineStr">
        <is>
          <t>POL010</t>
        </is>
      </c>
      <c r="B13" t="inlineStr">
        <is>
          <t>Jupiter Healthcare</t>
        </is>
      </c>
      <c r="C13" t="inlineStr">
        <is>
          <t>General Liability</t>
        </is>
      </c>
      <c r="D13" s="3" t="inlineStr">
        <is>
          <t>25-Jul-2026</t>
        </is>
      </c>
      <c r="E13" s="3" t="inlineStr">
        <is>
          <t>24-Jul-2027</t>
        </is>
      </c>
      <c r="F13" s="4" t="n">
        <v>134000</v>
      </c>
      <c r="G13" t="n">
        <v>5600</v>
      </c>
      <c r="H13" t="inlineStr">
        <is>
          <t>Query</t>
        </is>
      </c>
      <c r="I13" t="inlineStr">
        <is>
          <t>Meera</t>
        </is>
      </c>
    </row>
    <row r="14">
      <c r="A14" t="inlineStr">
        <is>
          <t>POL011</t>
        </is>
      </c>
      <c r="B14" t="inlineStr">
        <is>
          <t>Kingston Estates</t>
        </is>
      </c>
      <c r="C14" t="inlineStr">
        <is>
          <t>Commercial Property</t>
        </is>
      </c>
      <c r="D14" s="3" t="inlineStr">
        <is>
          <t>01-Aug-2026</t>
        </is>
      </c>
      <c r="E14" s="3" t="inlineStr">
        <is>
          <t>31-Jul-2027</t>
        </is>
      </c>
      <c r="F14" s="4" t="n">
        <v>198000</v>
      </c>
      <c r="G14" t="n">
        <v>8300</v>
      </c>
      <c r="H14" t="inlineStr">
        <is>
          <t>Pending</t>
        </is>
      </c>
      <c r="I14" t="inlineStr">
        <is>
          <t>Rahul</t>
        </is>
      </c>
    </row>
    <row r="15">
      <c r="A15" t="inlineStr">
        <is>
          <t>POL012</t>
        </is>
      </c>
      <c r="B15" t="inlineStr">
        <is>
          <t>Lighthouse Energy</t>
        </is>
      </c>
      <c r="C15" t="inlineStr">
        <is>
          <t>Workers Compensation</t>
        </is>
      </c>
      <c r="D15" s="3" t="inlineStr">
        <is>
          <t>08-Aug-2026</t>
        </is>
      </c>
      <c r="E15" s="3" t="inlineStr">
        <is>
          <t>07-Aug-2027</t>
        </is>
      </c>
      <c r="F15" s="4" t="n">
        <v>101000</v>
      </c>
      <c r="G15" t="n">
        <v>4250</v>
      </c>
      <c r="H15" t="inlineStr">
        <is>
          <t>Completed</t>
        </is>
      </c>
      <c r="I15" t="inlineStr">
        <is>
          <t>Anu</t>
        </is>
      </c>
    </row>
    <row r="16">
      <c r="A16" t="inlineStr">
        <is>
          <t>POL013</t>
        </is>
      </c>
      <c r="B16" t="inlineStr">
        <is>
          <t>Metro Foods</t>
        </is>
      </c>
      <c r="C16" t="inlineStr">
        <is>
          <t>Commercial Auto</t>
        </is>
      </c>
      <c r="D16" s="3" t="inlineStr">
        <is>
          <t>15-Aug-2026</t>
        </is>
      </c>
      <c r="E16" s="3" t="inlineStr">
        <is>
          <t>14-Aug-2027</t>
        </is>
      </c>
      <c r="F16" s="4" t="n">
        <v>82000</v>
      </c>
      <c r="G16" t="n">
        <v>3450</v>
      </c>
      <c r="H16" t="inlineStr">
        <is>
          <t>Completed</t>
        </is>
      </c>
      <c r="I16" t="inlineStr">
        <is>
          <t>Arun</t>
        </is>
      </c>
    </row>
    <row r="17">
      <c r="A17" t="inlineStr">
        <is>
          <t>POL014</t>
        </is>
      </c>
      <c r="B17" t="inlineStr">
        <is>
          <t>Northstar Media</t>
        </is>
      </c>
      <c r="C17" t="inlineStr">
        <is>
          <t>Cyber Liability</t>
        </is>
      </c>
      <c r="D17" s="3" t="inlineStr">
        <is>
          <t>20-Aug-2026</t>
        </is>
      </c>
      <c r="E17" s="3" t="inlineStr">
        <is>
          <t>19-Aug-2027</t>
        </is>
      </c>
      <c r="F17" s="4" t="n">
        <v>119000</v>
      </c>
      <c r="G17" t="n">
        <v>5000</v>
      </c>
      <c r="H17" t="inlineStr">
        <is>
          <t>Query</t>
        </is>
      </c>
      <c r="I17" t="inlineStr">
        <is>
          <t>Meera</t>
        </is>
      </c>
    </row>
    <row r="18">
      <c r="A18" t="inlineStr">
        <is>
          <t>POL015</t>
        </is>
      </c>
      <c r="B18" t="inlineStr">
        <is>
          <t>Oakline Properties</t>
        </is>
      </c>
      <c r="C18" t="inlineStr">
        <is>
          <t>Commercial Property</t>
        </is>
      </c>
      <c r="D18" s="3" t="inlineStr">
        <is>
          <t>01-Sep-2026</t>
        </is>
      </c>
      <c r="E18" s="3" t="inlineStr">
        <is>
          <t>31-Aug-2027</t>
        </is>
      </c>
      <c r="F18" s="4" t="n">
        <v>225000</v>
      </c>
      <c r="G18" t="n">
        <v>9400</v>
      </c>
      <c r="H18" t="inlineStr">
        <is>
          <t>Pending</t>
        </is>
      </c>
      <c r="I18" t="inlineStr">
        <is>
          <t>Rahul</t>
        </is>
      </c>
    </row>
    <row r="19">
      <c r="A19" t="inlineStr">
        <is>
          <t>POL016</t>
        </is>
      </c>
      <c r="B19" t="inlineStr">
        <is>
          <t>Pioneer Trading</t>
        </is>
      </c>
      <c r="C19" t="inlineStr">
        <is>
          <t>General Liability</t>
        </is>
      </c>
      <c r="D19" s="3" t="inlineStr">
        <is>
          <t>05-Sep-2026</t>
        </is>
      </c>
      <c r="E19" s="3" t="inlineStr">
        <is>
          <t>04-Sep-2027</t>
        </is>
      </c>
      <c r="F19" s="4" t="n">
        <v>97000</v>
      </c>
      <c r="G19" t="n">
        <v>4050</v>
      </c>
      <c r="H19" t="inlineStr">
        <is>
          <t>Completed</t>
        </is>
      </c>
      <c r="I19" t="inlineStr">
        <is>
          <t>Anu</t>
        </is>
      </c>
    </row>
    <row r="20">
      <c r="A20" t="inlineStr">
        <is>
          <t>POL017</t>
        </is>
      </c>
      <c r="B20" t="inlineStr">
        <is>
          <t>Quantum Labs</t>
        </is>
      </c>
      <c r="C20" t="inlineStr">
        <is>
          <t>Cyber Liability</t>
        </is>
      </c>
      <c r="D20" s="3" t="inlineStr">
        <is>
          <t>10-Sep-2026</t>
        </is>
      </c>
      <c r="E20" s="3" t="inlineStr">
        <is>
          <t>09-Sep-2027</t>
        </is>
      </c>
      <c r="F20" s="4" t="n">
        <v>165000</v>
      </c>
      <c r="G20" t="n">
        <v>6900</v>
      </c>
      <c r="H20" t="inlineStr">
        <is>
          <t>Completed</t>
        </is>
      </c>
      <c r="I20" t="inlineStr">
        <is>
          <t>Arun</t>
        </is>
      </c>
    </row>
    <row r="21">
      <c r="A21" t="inlineStr">
        <is>
          <t>POL018</t>
        </is>
      </c>
      <c r="B21" t="inlineStr">
        <is>
          <t>Riverside Transport</t>
        </is>
      </c>
      <c r="C21" t="inlineStr">
        <is>
          <t>Commercial Auto</t>
        </is>
      </c>
      <c r="D21" s="3" t="inlineStr">
        <is>
          <t>12-Sep-2026</t>
        </is>
      </c>
      <c r="E21" s="3" t="inlineStr">
        <is>
          <t>11-Sep-2027</t>
        </is>
      </c>
      <c r="F21" s="4" t="n">
        <v>108000</v>
      </c>
      <c r="G21" t="n">
        <v>4550</v>
      </c>
      <c r="H21" t="inlineStr">
        <is>
          <t>Pending</t>
        </is>
      </c>
      <c r="I21" t="inlineStr">
        <is>
          <t>Meera</t>
        </is>
      </c>
    </row>
    <row r="22">
      <c r="A22" t="inlineStr">
        <is>
          <t>POL019</t>
        </is>
      </c>
      <c r="B22" t="inlineStr">
        <is>
          <t>Summit Retail</t>
        </is>
      </c>
      <c r="C22" t="inlineStr">
        <is>
          <t>Workers Compensation</t>
        </is>
      </c>
      <c r="D22" s="3" t="inlineStr">
        <is>
          <t>15-Sep-2026</t>
        </is>
      </c>
      <c r="E22" s="3" t="inlineStr">
        <is>
          <t>14-Sep-2027</t>
        </is>
      </c>
      <c r="F22" s="4" t="n">
        <v>93000</v>
      </c>
      <c r="G22" t="n">
        <v>3900</v>
      </c>
      <c r="H22" t="inlineStr">
        <is>
          <t>Completed</t>
        </is>
      </c>
      <c r="I22" t="inlineStr">
        <is>
          <t>Anu</t>
        </is>
      </c>
    </row>
    <row r="23">
      <c r="A23" t="inlineStr">
        <is>
          <t>POL020</t>
        </is>
      </c>
      <c r="B23" t="inlineStr">
        <is>
          <t>Trinity Builders</t>
        </is>
      </c>
      <c r="C23" t="inlineStr">
        <is>
          <t>General Liability</t>
        </is>
      </c>
      <c r="D23" s="3" t="inlineStr">
        <is>
          <t>18-Sep-2026</t>
        </is>
      </c>
      <c r="E23" s="3" t="inlineStr">
        <is>
          <t>17-Sep-2027</t>
        </is>
      </c>
      <c r="F23" s="4" t="n">
        <v>187000</v>
      </c>
      <c r="G23" t="n">
        <v>7800</v>
      </c>
      <c r="H23" t="inlineStr">
        <is>
          <t>Query</t>
        </is>
      </c>
      <c r="I23" t="inlineStr">
        <is>
          <t>Rahul</t>
        </is>
      </c>
    </row>
  </sheetData>
  <autoFilter ref="A3:I23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P&amp;C Insurance Operations Dashboard</t>
        </is>
      </c>
    </row>
    <row r="3">
      <c r="A3" s="6" t="inlineStr">
        <is>
          <t>Total Policies</t>
        </is>
      </c>
      <c r="B3" s="7">
        <f>COUNTA('Policy Data'!A4:A23)</f>
        <v/>
      </c>
      <c r="D3" s="8" t="inlineStr">
        <is>
          <t>Status</t>
        </is>
      </c>
      <c r="E3" s="8" t="inlineStr">
        <is>
          <t>Count</t>
        </is>
      </c>
    </row>
    <row r="4">
      <c r="A4" s="6" t="inlineStr">
        <is>
          <t>Total Premium</t>
        </is>
      </c>
      <c r="B4" s="9">
        <f>SUM('Policy Data'!F4:F23)</f>
        <v/>
      </c>
      <c r="D4" t="inlineStr">
        <is>
          <t>Completed</t>
        </is>
      </c>
      <c r="E4">
        <f>COUNTIF('Policy Data'!H4:H23,D4)</f>
        <v/>
      </c>
    </row>
    <row r="5">
      <c r="A5" s="6" t="inlineStr">
        <is>
          <t>Completed Tasks</t>
        </is>
      </c>
      <c r="B5" s="7">
        <f>SUM('Policy Data'!G4:G23)</f>
        <v/>
      </c>
      <c r="D5" t="inlineStr">
        <is>
          <t>Pending</t>
        </is>
      </c>
      <c r="E5">
        <f>COUNTIF('Policy Data'!H4:H23,D5)</f>
        <v/>
      </c>
    </row>
    <row r="6">
      <c r="A6" s="6" t="inlineStr">
        <is>
          <t>Pending Policies</t>
        </is>
      </c>
      <c r="B6" s="7">
        <f>COUNTIF('Policy Data'!H4:H23,"Pending")</f>
        <v/>
      </c>
      <c r="D6" t="inlineStr">
        <is>
          <t>Query</t>
        </is>
      </c>
      <c r="E6">
        <f>COUNTIF('Policy Data'!H4:H23,D6)</f>
        <v/>
      </c>
    </row>
    <row r="7">
      <c r="A7" s="6" t="inlineStr">
        <is>
          <t>Query Policies</t>
        </is>
      </c>
      <c r="B7" s="7">
        <f>COUNTIF('Policy Data'!H4:H23,"Query")</f>
        <v/>
      </c>
    </row>
    <row r="8">
      <c r="A8" s="6" t="inlineStr">
        <is>
          <t>Completion Rate</t>
        </is>
      </c>
      <c r="B8" s="10">
        <f>COUNTIF('Policy Data'!H4:H23,"Completed")/COUNTA('Policy Data'!A4:A23)</f>
        <v/>
      </c>
    </row>
    <row r="11">
      <c r="A11" s="8" t="inlineStr">
        <is>
          <t>Assigned To</t>
        </is>
      </c>
      <c r="B11" s="8" t="inlineStr">
        <is>
          <t>Policy Count</t>
        </is>
      </c>
      <c r="C11" s="8" t="inlineStr">
        <is>
          <t>Completed Tasks</t>
        </is>
      </c>
    </row>
    <row r="12">
      <c r="A12" t="inlineStr">
        <is>
          <t>Arun</t>
        </is>
      </c>
      <c r="B12">
        <f>COUNTIF('Policy Data'!I4:I23,A12)</f>
        <v/>
      </c>
      <c r="C12">
        <f>SUMIF('Policy Data'!I4:I23,A12,'Policy Data'!G4:G23)</f>
        <v/>
      </c>
    </row>
    <row r="13">
      <c r="A13" t="inlineStr">
        <is>
          <t>Meera</t>
        </is>
      </c>
      <c r="B13">
        <f>COUNTIF('Policy Data'!I4:I23,A13)</f>
        <v/>
      </c>
      <c r="C13">
        <f>SUMIF('Policy Data'!I4:I23,A13,'Policy Data'!G4:G23)</f>
        <v/>
      </c>
    </row>
    <row r="14">
      <c r="A14" t="inlineStr">
        <is>
          <t>Rahul</t>
        </is>
      </c>
      <c r="B14">
        <f>COUNTIF('Policy Data'!I4:I23,A14)</f>
        <v/>
      </c>
      <c r="C14">
        <f>SUMIF('Policy Data'!I4:I23,A14,'Policy Data'!G4:G23)</f>
        <v/>
      </c>
    </row>
    <row r="15">
      <c r="A15" t="inlineStr">
        <is>
          <t>Anu</t>
        </is>
      </c>
      <c r="B15">
        <f>COUNTIF('Policy Data'!I4:I23,A15)</f>
        <v/>
      </c>
      <c r="C15">
        <f>SUMIF('Policy Data'!I4:I23,A15,'Policy Data'!G4:G23)</f>
        <v/>
      </c>
    </row>
    <row r="18">
      <c r="A18" s="11" t="inlineStr">
        <is>
          <t>Portfolio note:</t>
        </is>
      </c>
    </row>
    <row r="19">
      <c r="A19" t="inlineStr">
        <is>
          <t>All names, policy IDs, figures and records are fictional and created for demonstration purposes.</t>
        </is>
      </c>
    </row>
  </sheetData>
  <mergeCells count="2">
    <mergeCell ref="A19:F1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Fiverr Portfolio – Excel Insurance Operations Sample</t>
        </is>
      </c>
    </row>
    <row r="3">
      <c r="A3" t="inlineStr">
        <is>
          <t>Purpose</t>
        </is>
      </c>
      <c r="B3" s="12" t="inlineStr">
        <is>
          <t>Demonstrates Excel data organization, validation, reporting and dashboard skills using fictional P&amp;C insurance data.</t>
        </is>
      </c>
    </row>
    <row r="5">
      <c r="A5" t="inlineStr">
        <is>
          <t>Included</t>
        </is>
      </c>
      <c r="B5" s="12" t="inlineStr">
        <is>
          <t>Policy Data + Dashboard + formulas + status analysis + assigned-user summary.</t>
        </is>
      </c>
    </row>
    <row r="7">
      <c r="A7" t="inlineStr">
        <is>
          <t>Confidentiality</t>
        </is>
      </c>
      <c r="B7" s="12" t="inlineStr">
        <is>
          <t>No employer/client information is used. All records are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2026-09-22T11:24:41Z</dcterms:created>
  <dcterms:modified xmlns:dcterms="http://purl.org/dc/terms/" xmlns:xsi="http://www.w3.org/2001/XMLSchema-instance" xsi:type="dcterms:W3CDTF">2026-09-22T11:24:42Z</dcterms:modified>
</cp:coreProperties>
</file>